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Desktop\summer research\"/>
    </mc:Choice>
  </mc:AlternateContent>
  <xr:revisionPtr revIDLastSave="0" documentId="13_ncr:1_{CD6D73C9-92B5-45AD-842E-D4263D1190B4}" xr6:coauthVersionLast="47" xr6:coauthVersionMax="47" xr10:uidLastSave="{00000000-0000-0000-0000-000000000000}"/>
  <bookViews>
    <workbookView xWindow="1590" yWindow="2760" windowWidth="16200" windowHeight="10530" activeTab="1" xr2:uid="{00000000-000D-0000-FFFF-FFFF00000000}"/>
  </bookViews>
  <sheets>
    <sheet name="Proportional Noise" sheetId="1" r:id="rId1"/>
    <sheet name="Varying dataset leng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3" i="2"/>
  <c r="C4" i="1"/>
  <c r="C5" i="1"/>
  <c r="C6" i="1"/>
  <c r="C7" i="1"/>
  <c r="C8" i="1"/>
  <c r="C9" i="1"/>
  <c r="C3" i="1"/>
  <c r="I4" i="1"/>
  <c r="I5" i="1"/>
  <c r="I6" i="1"/>
  <c r="I7" i="1"/>
  <c r="I8" i="1"/>
  <c r="I9" i="1"/>
  <c r="I3" i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<sst xmlns="http://schemas.openxmlformats.org/spreadsheetml/2006/main" count="14" uniqueCount="14">
  <si>
    <t>% Noise</t>
  </si>
  <si>
    <t>Final Loss</t>
  </si>
  <si>
    <t>Pred. alpha</t>
  </si>
  <si>
    <t>Pred. gamma</t>
  </si>
  <si>
    <t>Final Data Loss</t>
  </si>
  <si>
    <t>Final ODE Loss</t>
  </si>
  <si>
    <t>Dataset Length</t>
  </si>
  <si>
    <t>loss on full dataset</t>
  </si>
  <si>
    <t>MSE Loss</t>
  </si>
  <si>
    <t>ODE Residual Loss</t>
  </si>
  <si>
    <t>Final growth constant</t>
  </si>
  <si>
    <t>alpha % error</t>
  </si>
  <si>
    <t>gamma % error</t>
  </si>
  <si>
    <t>growth constant 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</si>
</sst>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000E+00"/>
    <numFmt numFmtId="166" formatCode="0.00000"/>
    <numFmt numFmtId="167" formatCode="0.0000"/>
    <numFmt numFmtId="170" formatCode="0.000"/>
    <numFmt numFmtId="171" formatCode="0.000E+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7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70" fontId="0" fillId="0" borderId="0" xfId="0" applyNumberFormat="1"/>
    <xf numFmtId="17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topLeftCell="B1" zoomScale="190" zoomScaleNormal="190" workbookViewId="0">
      <selection activeCell="C12" sqref="C12"/>
    </sheetView>
  </sheetViews>
  <sheetFormatPr defaultRowHeight="14.25" x14ac:dyDescent="0.45"/>
  <cols>
    <col min="2" max="2" width="14.53125" customWidth="1"/>
    <col min="4" max="5" width="12.53125" customWidth="1"/>
    <col min="6" max="6" width="10" customWidth="1"/>
    <col min="7" max="7" width="11.265625" customWidth="1"/>
    <col min="8" max="8" width="12.33203125" customWidth="1"/>
    <col min="9" max="9" width="13.265625" customWidth="1"/>
  </cols>
  <sheetData>
    <row r="2" spans="2:9" x14ac:dyDescent="0.45">
      <c r="B2" t="s">
        <v>0</v>
      </c>
      <c r="C2" t="s">
        <v>1</v>
      </c>
      <c r="D2" t="s">
        <v>4</v>
      </c>
      <c r="E2" t="s">
        <v>5</v>
      </c>
      <c r="F2" t="s">
        <v>2</v>
      </c>
      <c r="G2" t="s">
        <v>3</v>
      </c>
      <c r="H2" t="s">
        <v>11</v>
      </c>
      <c r="I2" t="s">
        <v>12</v>
      </c>
    </row>
    <row r="3" spans="2:9" x14ac:dyDescent="0.45">
      <c r="B3">
        <v>0</v>
      </c>
      <c r="C3" s="6">
        <f>D3+E3</f>
        <v>2.4961537019407772E-4</v>
      </c>
      <c r="D3" s="6">
        <v>1.07517498690867E-5</v>
      </c>
      <c r="E3" s="6">
        <v>2.3886362032499099E-4</v>
      </c>
      <c r="F3" s="2">
        <v>0.99777499999999997</v>
      </c>
      <c r="G3" s="2">
        <v>0.99798200000000004</v>
      </c>
      <c r="H3" s="5">
        <f>ABS(1-F3)*100</f>
        <v>0.22250000000000325</v>
      </c>
      <c r="I3" s="5">
        <f>ABS(1-G3)*100</f>
        <v>0.20179999999999643</v>
      </c>
    </row>
    <row r="4" spans="2:9" x14ac:dyDescent="0.45">
      <c r="B4">
        <v>5</v>
      </c>
      <c r="C4" s="6">
        <f t="shared" ref="C4:C9" si="0">D4+E4</f>
        <v>6.4922134333755702E-4</v>
      </c>
      <c r="D4" s="6">
        <v>1.6985375259537201E-4</v>
      </c>
      <c r="E4" s="6">
        <v>4.7936759074218501E-4</v>
      </c>
      <c r="F4" s="2">
        <v>0.98614800000000002</v>
      </c>
      <c r="G4" s="2">
        <v>0.99743400000000004</v>
      </c>
      <c r="H4" s="5">
        <f t="shared" ref="H4:H9" si="1">ABS(1-F4)*100</f>
        <v>1.3851999999999975</v>
      </c>
      <c r="I4" s="5">
        <f t="shared" ref="I4:I9" si="2">ABS(1-G4)*100</f>
        <v>0.25659999999999572</v>
      </c>
    </row>
    <row r="5" spans="2:9" x14ac:dyDescent="0.45">
      <c r="B5">
        <v>7.5</v>
      </c>
      <c r="C5" s="6">
        <f t="shared" si="0"/>
        <v>9.2201518418732998E-4</v>
      </c>
      <c r="D5" s="6">
        <v>2.4184295034501699E-4</v>
      </c>
      <c r="E5" s="6">
        <v>6.8017223384231296E-4</v>
      </c>
      <c r="F5" s="2">
        <v>0.98109100000000005</v>
      </c>
      <c r="G5" s="2">
        <v>0.99687899999999996</v>
      </c>
      <c r="H5" s="5">
        <f t="shared" si="1"/>
        <v>1.8908999999999954</v>
      </c>
      <c r="I5" s="5">
        <f t="shared" si="2"/>
        <v>0.31210000000000404</v>
      </c>
    </row>
    <row r="6" spans="2:9" x14ac:dyDescent="0.45">
      <c r="B6">
        <v>10</v>
      </c>
      <c r="C6" s="6">
        <f t="shared" si="0"/>
        <v>1.298361079534514E-3</v>
      </c>
      <c r="D6" s="6">
        <v>4.0473972330801102E-4</v>
      </c>
      <c r="E6" s="6">
        <v>8.9362135622650298E-4</v>
      </c>
      <c r="F6" s="2">
        <v>0.97686099999999998</v>
      </c>
      <c r="G6" s="2">
        <v>0.99636400000000003</v>
      </c>
      <c r="H6" s="5">
        <f t="shared" si="1"/>
        <v>2.3139000000000021</v>
      </c>
      <c r="I6" s="5">
        <f t="shared" si="2"/>
        <v>0.36359999999999726</v>
      </c>
    </row>
    <row r="7" spans="2:9" x14ac:dyDescent="0.45">
      <c r="B7">
        <v>12.5</v>
      </c>
      <c r="C7" s="6">
        <f t="shared" si="0"/>
        <v>1.813664683140813E-3</v>
      </c>
      <c r="D7" s="6">
        <v>5.8184715453535297E-4</v>
      </c>
      <c r="E7" s="6">
        <v>1.23181752860546E-3</v>
      </c>
      <c r="F7" s="2">
        <v>0.97316800000000003</v>
      </c>
      <c r="G7" s="2">
        <v>0.99606799999999995</v>
      </c>
      <c r="H7" s="5">
        <f t="shared" si="1"/>
        <v>2.6831999999999967</v>
      </c>
      <c r="I7" s="5">
        <f t="shared" si="2"/>
        <v>0.39320000000000466</v>
      </c>
    </row>
    <row r="8" spans="2:9" x14ac:dyDescent="0.45">
      <c r="B8">
        <v>15</v>
      </c>
      <c r="C8" s="6">
        <f t="shared" si="0"/>
        <v>2.667342545464628E-3</v>
      </c>
      <c r="D8" s="6">
        <v>7.8069604933261795E-4</v>
      </c>
      <c r="E8" s="6">
        <v>1.8866464961320099E-3</v>
      </c>
      <c r="F8" s="2">
        <v>0.97016899999999995</v>
      </c>
      <c r="G8" s="2">
        <v>0.995425</v>
      </c>
      <c r="H8" s="5">
        <f t="shared" si="1"/>
        <v>2.9831000000000052</v>
      </c>
      <c r="I8" s="5">
        <f t="shared" si="2"/>
        <v>0.45749999999999957</v>
      </c>
    </row>
    <row r="9" spans="2:9" x14ac:dyDescent="0.45">
      <c r="B9">
        <v>30</v>
      </c>
      <c r="C9" s="6">
        <f t="shared" si="0"/>
        <v>1.037041284143924E-2</v>
      </c>
      <c r="D9" s="6">
        <v>3.1581567600369401E-3</v>
      </c>
      <c r="E9" s="6">
        <v>7.2122560814023001E-3</v>
      </c>
      <c r="F9" s="2">
        <v>0.95864199999999999</v>
      </c>
      <c r="G9" s="2">
        <v>0.987954</v>
      </c>
      <c r="H9" s="5">
        <f t="shared" si="1"/>
        <v>4.1358000000000006</v>
      </c>
      <c r="I9" s="5">
        <f t="shared" si="2"/>
        <v>1.2046000000000001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DD50-56FF-40C2-8D54-72F718C79959}">
  <dimension ref="B2:G11"/>
  <sheetViews>
    <sheetView tabSelected="1" workbookViewId="0">
      <selection activeCell="F15" sqref="F15"/>
    </sheetView>
  </sheetViews>
  <sheetFormatPr defaultRowHeight="14.25" x14ac:dyDescent="0.45"/>
  <cols>
    <col min="2" max="2" width="12.796875" customWidth="1"/>
    <col min="3" max="3" width="18.265625" customWidth="1"/>
    <col min="4" max="4" width="11.73046875" bestFit="1" customWidth="1"/>
    <col min="5" max="5" width="16.3984375" customWidth="1"/>
    <col min="6" max="6" width="18.796875" customWidth="1"/>
    <col min="7" max="7" width="19.86328125" customWidth="1"/>
  </cols>
  <sheetData>
    <row r="2" spans="2:7" x14ac:dyDescent="0.45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13</v>
      </c>
    </row>
    <row r="3" spans="2:7" x14ac:dyDescent="0.45">
      <c r="B3">
        <v>1024</v>
      </c>
      <c r="C3" s="1">
        <v>1.9750128663036801E-5</v>
      </c>
      <c r="D3" s="1">
        <v>3.30152488459134E-7</v>
      </c>
      <c r="E3" s="1">
        <v>1.94199761745777E-5</v>
      </c>
      <c r="F3" s="4">
        <v>1.9995487928390501</v>
      </c>
      <c r="G3" s="3">
        <f>(ABS(2-F3)/2)*100</f>
        <v>2.2560358047496454E-2</v>
      </c>
    </row>
    <row r="4" spans="2:7" x14ac:dyDescent="0.45">
      <c r="B4">
        <v>512</v>
      </c>
      <c r="C4" s="1">
        <v>1.9280695243195502E-5</v>
      </c>
      <c r="D4" s="1">
        <v>3.2887777479118001E-7</v>
      </c>
      <c r="E4" s="1">
        <v>1.89518174684043E-5</v>
      </c>
      <c r="F4" s="4">
        <v>1.99948418140411</v>
      </c>
      <c r="G4" s="3">
        <f t="shared" ref="G4:G11" si="0">(ABS(2-F4)/2)*100</f>
        <v>2.5790929794500261E-2</v>
      </c>
    </row>
    <row r="5" spans="2:7" x14ac:dyDescent="0.45">
      <c r="B5">
        <v>256</v>
      </c>
      <c r="C5" s="1">
        <v>1.85605516173198E-5</v>
      </c>
      <c r="D5" s="1">
        <v>3.2757461099208698E-7</v>
      </c>
      <c r="E5" s="1">
        <v>1.8232977006327699E-5</v>
      </c>
      <c r="F5" s="4">
        <v>1.99936139583587</v>
      </c>
      <c r="G5" s="3">
        <f t="shared" si="0"/>
        <v>3.1930208206498722E-2</v>
      </c>
    </row>
    <row r="6" spans="2:7" x14ac:dyDescent="0.45">
      <c r="B6">
        <v>128</v>
      </c>
      <c r="C6" s="1">
        <v>1.6978082838420899E-5</v>
      </c>
      <c r="D6" s="1">
        <v>2.8181375455460501E-7</v>
      </c>
      <c r="E6" s="1">
        <v>1.6696269083866301E-5</v>
      </c>
      <c r="F6" s="4">
        <v>1.99959969520568</v>
      </c>
      <c r="G6" s="3">
        <f t="shared" si="0"/>
        <v>2.0015239715998057E-2</v>
      </c>
    </row>
    <row r="7" spans="2:7" x14ac:dyDescent="0.45">
      <c r="B7">
        <v>64</v>
      </c>
      <c r="C7" s="1">
        <v>1.4641112376581699E-5</v>
      </c>
      <c r="D7" s="1">
        <v>2.95720667509158E-7</v>
      </c>
      <c r="E7" s="1">
        <v>1.43453917090726E-5</v>
      </c>
      <c r="F7" s="4">
        <v>1.9993320703506401</v>
      </c>
      <c r="G7" s="3">
        <f t="shared" si="0"/>
        <v>3.3396482467995536E-2</v>
      </c>
    </row>
    <row r="8" spans="2:7" x14ac:dyDescent="0.45">
      <c r="B8">
        <v>32</v>
      </c>
      <c r="C8" s="1">
        <v>1.2144948186331599E-5</v>
      </c>
      <c r="D8" s="1">
        <v>2.5131981828962998E-7</v>
      </c>
      <c r="E8" s="1">
        <v>1.18936283680419E-5</v>
      </c>
      <c r="F8" s="4">
        <v>1.99881207942962</v>
      </c>
      <c r="G8" s="3">
        <f t="shared" si="0"/>
        <v>5.9396028518998722E-2</v>
      </c>
    </row>
    <row r="9" spans="2:7" x14ac:dyDescent="0.45">
      <c r="B9">
        <v>16</v>
      </c>
      <c r="C9" s="1">
        <v>7.0302454185433206E-5</v>
      </c>
      <c r="D9" s="1">
        <v>3.1155145734373899E-6</v>
      </c>
      <c r="E9" s="1">
        <v>6.7186939611995798E-5</v>
      </c>
      <c r="F9" s="4">
        <v>1.9933658838271999</v>
      </c>
      <c r="G9" s="3">
        <f t="shared" si="0"/>
        <v>0.33170580864000376</v>
      </c>
    </row>
    <row r="10" spans="2:7" x14ac:dyDescent="0.45">
      <c r="B10">
        <v>8</v>
      </c>
      <c r="C10" s="1">
        <v>3.5945385532214598E-4</v>
      </c>
      <c r="D10" s="1">
        <v>5.9895126469200402E-5</v>
      </c>
      <c r="E10" s="1">
        <v>2.9955872885294502E-4</v>
      </c>
      <c r="F10" s="4">
        <v>1.9728634357452299</v>
      </c>
      <c r="G10" s="3">
        <f t="shared" si="0"/>
        <v>1.3568282127385034</v>
      </c>
    </row>
    <row r="11" spans="2:7" x14ac:dyDescent="0.45">
      <c r="B11">
        <v>4</v>
      </c>
      <c r="C11" s="1">
        <v>1.23735070443068E-2</v>
      </c>
      <c r="D11" s="1">
        <v>9.7522493451833708E-3</v>
      </c>
      <c r="E11" s="1">
        <v>2.6212576991235001E-3</v>
      </c>
      <c r="F11" s="4">
        <v>0.81561142206192005</v>
      </c>
      <c r="G11" s="3">
        <f t="shared" si="0"/>
        <v>59.219428896903992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044182CC67D479A0D07AA871F65A3" ma:contentTypeVersion="5" ma:contentTypeDescription="Create a new document." ma:contentTypeScope="" ma:versionID="68ed6e3d997bbc90bc3a000b9c9e0310">
  <xsd:schema xmlns:xsd="http://www.w3.org/2001/XMLSchema" xmlns:xs="http://www.w3.org/2001/XMLSchema" xmlns:p="http://schemas.microsoft.com/office/2006/metadata/properties" xmlns:ns3="efcfb231-3fa3-4b07-9fce-a088c1f164e7" targetNamespace="http://schemas.microsoft.com/office/2006/metadata/properties" ma:root="true" ma:fieldsID="247ab25a1b4d4b40dec87705205a052c" ns3:_="">
    <xsd:import namespace="efcfb231-3fa3-4b07-9fce-a088c1f164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fb231-3fa3-4b07-9fce-a088c1f164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65489A-2BB4-4AAF-9210-D65A77222F8E}">
  <ds:schemaRefs>
    <ds:schemaRef ds:uri="http://purl.org/dc/terms/"/>
    <ds:schemaRef ds:uri="efcfb231-3fa3-4b07-9fce-a088c1f164e7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14FF82-4E11-4F10-A321-1FE8382801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E5CBF0-EBF8-4768-9DB8-CF96042D5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cfb231-3fa3-4b07-9fce-a088c1f16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Proportional Noise</vt:lpstr>
      <vt:lpstr>Varying dataset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Shalev Manor</dc:creator>
  <cp:lastModifiedBy>Shalev Manor</cp:lastModifiedBy>
  <dcterms:created xsi:type="dcterms:W3CDTF">2015-06-05T18:17:20Z</dcterms:created>
  <dcterms:modified xsi:type="dcterms:W3CDTF">2025-05-14T14:54:47Z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0x010100AB1044182CC67D479A0D07AA871F65A3</vt:lpwstr>
  </property>
</Properties>
</file>